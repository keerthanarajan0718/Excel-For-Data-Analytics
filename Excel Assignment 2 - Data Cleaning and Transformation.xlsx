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and\Documents\Keerthana -Entri\"/>
    </mc:Choice>
  </mc:AlternateContent>
  <xr:revisionPtr revIDLastSave="0" documentId="8_{3155F75B-C2C9-4C8E-9147-E1522D5DC6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structions" sheetId="1" r:id="rId1"/>
    <sheet name="Dataset" sheetId="2" r:id="rId2"/>
  </sheets>
  <calcPr calcId="191029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M2" i="2" l="1"/>
  <c r="M5" i="2"/>
  <c r="M6" i="2"/>
  <c r="M7" i="2"/>
  <c r="M8" i="2"/>
  <c r="M9" i="2"/>
  <c r="M10" i="2"/>
  <c r="M13" i="2"/>
  <c r="M14" i="2"/>
  <c r="M15" i="2"/>
  <c r="M16" i="2"/>
  <c r="M17" i="2"/>
  <c r="M18" i="2"/>
  <c r="M21" i="2"/>
  <c r="M22" i="2"/>
  <c r="M23" i="2"/>
  <c r="M24" i="2"/>
  <c r="M25" i="2"/>
  <c r="M26" i="2"/>
  <c r="M29" i="2"/>
  <c r="M30" i="2"/>
  <c r="M31" i="2"/>
  <c r="M32" i="2"/>
  <c r="J2" i="2"/>
  <c r="J3" i="2"/>
  <c r="M3" i="2" s="1"/>
  <c r="J4" i="2"/>
  <c r="M4" i="2" s="1"/>
  <c r="J5" i="2"/>
  <c r="J6" i="2"/>
  <c r="J7" i="2"/>
  <c r="J8" i="2"/>
  <c r="J9" i="2"/>
  <c r="J10" i="2"/>
  <c r="J11" i="2"/>
  <c r="M11" i="2" s="1"/>
  <c r="J12" i="2"/>
  <c r="M12" i="2" s="1"/>
  <c r="J13" i="2"/>
  <c r="J14" i="2"/>
  <c r="J15" i="2"/>
  <c r="J16" i="2"/>
  <c r="J17" i="2"/>
  <c r="J18" i="2"/>
  <c r="J19" i="2"/>
  <c r="M19" i="2" s="1"/>
  <c r="J20" i="2"/>
  <c r="M20" i="2" s="1"/>
  <c r="J21" i="2"/>
  <c r="J22" i="2"/>
  <c r="J23" i="2"/>
  <c r="J24" i="2"/>
  <c r="J25" i="2"/>
  <c r="J26" i="2"/>
  <c r="J27" i="2"/>
  <c r="M27" i="2" s="1"/>
  <c r="J28" i="2"/>
  <c r="M28" i="2" s="1"/>
  <c r="J29" i="2"/>
  <c r="J30" i="2"/>
  <c r="J31" i="2"/>
  <c r="J3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E43" i="2"/>
  <c r="E40" i="2"/>
  <c r="E47" i="2"/>
  <c r="C2" i="2"/>
  <c r="L2" i="2" s="1"/>
  <c r="C3" i="2"/>
  <c r="L3" i="2" s="1"/>
  <c r="C4" i="2"/>
  <c r="L4" i="2" s="1"/>
  <c r="C5" i="2"/>
  <c r="L5" i="2" s="1"/>
  <c r="C6" i="2"/>
  <c r="L6" i="2" s="1"/>
  <c r="C7" i="2"/>
  <c r="L7" i="2" s="1"/>
  <c r="C8" i="2"/>
  <c r="L8" i="2" s="1"/>
  <c r="C9" i="2"/>
  <c r="L9" i="2" s="1"/>
  <c r="C10" i="2"/>
  <c r="L10" i="2" s="1"/>
  <c r="C11" i="2"/>
  <c r="L11" i="2" s="1"/>
  <c r="C12" i="2"/>
  <c r="L12" i="2" s="1"/>
  <c r="C13" i="2"/>
  <c r="L13" i="2" s="1"/>
  <c r="C14" i="2"/>
  <c r="L14" i="2" s="1"/>
  <c r="C15" i="2"/>
  <c r="L15" i="2" s="1"/>
  <c r="C16" i="2"/>
  <c r="L16" i="2" s="1"/>
  <c r="C17" i="2"/>
  <c r="L17" i="2" s="1"/>
  <c r="C18" i="2"/>
  <c r="L18" i="2" s="1"/>
  <c r="C19" i="2"/>
  <c r="L19" i="2" s="1"/>
  <c r="C20" i="2"/>
  <c r="L20" i="2" s="1"/>
  <c r="C21" i="2"/>
  <c r="L21" i="2" s="1"/>
  <c r="C22" i="2"/>
  <c r="L22" i="2" s="1"/>
  <c r="C23" i="2"/>
  <c r="L23" i="2" s="1"/>
  <c r="C24" i="2"/>
  <c r="L24" i="2" s="1"/>
  <c r="C25" i="2"/>
  <c r="L25" i="2" s="1"/>
  <c r="C26" i="2"/>
  <c r="L26" i="2" s="1"/>
  <c r="C27" i="2"/>
  <c r="L27" i="2" s="1"/>
  <c r="C28" i="2"/>
  <c r="L28" i="2" s="1"/>
  <c r="C29" i="2"/>
  <c r="L29" i="2" s="1"/>
  <c r="C30" i="2"/>
  <c r="L30" i="2" s="1"/>
  <c r="C31" i="2"/>
  <c r="L31" i="2" s="1"/>
  <c r="C32" i="2"/>
  <c r="L32" i="2" s="1"/>
</calcChain>
</file>

<file path=xl/sharedStrings.xml><?xml version="1.0" encoding="utf-8"?>
<sst xmlns="http://schemas.openxmlformats.org/spreadsheetml/2006/main" count="222" uniqueCount="135">
  <si>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</si>
  <si>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</si>
  <si>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</si>
  <si>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</si>
  <si>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</si>
  <si>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</si>
  <si>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</si>
  <si>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</si>
  <si>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</si>
  <si>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</si>
  <si>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</si>
  <si>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</si>
  <si>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</si>
  <si>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</si>
  <si>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</si>
  <si>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</si>
  <si>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</si>
  <si>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</si>
  <si>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</si>
  <si>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</si>
  <si>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</si>
  <si>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</si>
  <si>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</si>
  <si>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</si>
  <si>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</si>
  <si>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</si>
  <si>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</si>
  <si>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</si>
  <si>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</si>
  <si>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</si>
  <si>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</si>
  <si>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</si>
  <si>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</si>
  <si>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</si>
  <si>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</si>
  <si>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</si>
  <si>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</si>
  <si>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</si>
  <si>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</si>
  <si>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</si>
  <si>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</si>
  <si>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</si>
  <si>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</si>
  <si>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</si>
  <si>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</si>
  <si>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</si>
  <si>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</si>
  <si>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</si>
  <si>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</si>
  <si>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</si>
  <si>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</si>
  <si>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</si>
  <si>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</si>
  <si>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</si>
  <si>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</si>
  <si>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</si>
  <si>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</si>
  <si>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</si>
  <si>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</si>
  <si>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</si>
  <si>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</si>
  <si>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</si>
  <si>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</si>
  <si>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</si>
  <si>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</si>
  <si>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</si>
  <si>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</si>
  <si>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</si>
  <si>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</si>
  <si>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</si>
  <si>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</si>
  <si>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</si>
  <si>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</si>
  <si>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</si>
  <si>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</si>
  <si>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</si>
  <si>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</si>
  <si>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</si>
  <si>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</si>
  <si>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</si>
  <si>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</si>
  <si>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</si>
  <si>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</si>
  <si>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</si>
  <si>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</si>
  <si>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</si>
  <si>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</si>
  <si>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</si>
  <si>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</si>
  <si>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</si>
  <si>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</si>
  <si>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</si>
  <si>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</si>
  <si>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</si>
  <si>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</si>
  <si>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</si>
  <si>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</si>
  <si>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</si>
  <si>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</si>
  <si>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</si>
  <si>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</si>
  <si>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</si>
  <si>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</si>
  <si>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</si>
  <si>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</si>
  <si>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</si>
  <si>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</si>
  <si>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</si>
  <si>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</si>
  <si>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</si>
  <si>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</si>
  <si>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</si>
  <si>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</si>
  <si>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</si>
  <si>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</si>
  <si>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</si>
  <si>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Missing values in the 'Price' column</t>
  </si>
  <si>
    <t>Products with missing price information can we handled by finding the median of the Price</t>
  </si>
  <si>
    <r>
      <rPr>
        <b/>
        <sz val="10"/>
        <color rgb="FF000000"/>
        <rFont val="Arial"/>
        <family val="2"/>
        <scheme val="minor"/>
      </rPr>
      <t xml:space="preserve">A) </t>
    </r>
    <r>
      <rPr>
        <sz val="10"/>
        <color rgb="FF000000"/>
        <rFont val="Arial"/>
        <scheme val="minor"/>
      </rPr>
      <t>Handling Missing Values:</t>
    </r>
  </si>
  <si>
    <r>
      <t>B) P</t>
    </r>
    <r>
      <rPr>
        <sz val="10"/>
        <color rgb="FF000000"/>
        <rFont val="Arial"/>
        <family val="2"/>
        <scheme val="minor"/>
      </rPr>
      <t>roducts with missing categories</t>
    </r>
  </si>
  <si>
    <t>We can use if and isblank to impute or deal with these missing values effectively.</t>
  </si>
  <si>
    <t>Proper Function</t>
  </si>
  <si>
    <r>
      <rPr>
        <b/>
        <sz val="10"/>
        <color rgb="FF000000"/>
        <rFont val="Arial"/>
        <family val="2"/>
        <scheme val="minor"/>
      </rPr>
      <t xml:space="preserve">A) </t>
    </r>
    <r>
      <rPr>
        <sz val="10"/>
        <color rgb="FF000000"/>
        <rFont val="Arial"/>
        <family val="2"/>
        <scheme val="minor"/>
      </rPr>
      <t>Inconsistent text formats present in the "Product Name" column is removed using proper function in Column C "Proper Function"</t>
    </r>
  </si>
  <si>
    <t>Product Name after Find and Replace2</t>
  </si>
  <si>
    <t>Category  After Find and Replace</t>
  </si>
  <si>
    <r>
      <t xml:space="preserve">B) </t>
    </r>
    <r>
      <rPr>
        <sz val="10"/>
        <color rgb="FF000000"/>
        <rFont val="Arial"/>
        <family val="2"/>
        <scheme val="minor"/>
      </rPr>
      <t>Typos present in the "Category" column</t>
    </r>
    <r>
      <rPr>
        <b/>
        <sz val="10"/>
        <color rgb="FF000000"/>
        <rFont val="Arial"/>
        <family val="2"/>
        <scheme val="minor"/>
      </rPr>
      <t xml:space="preserve"> -</t>
    </r>
    <r>
      <rPr>
        <sz val="10"/>
        <color rgb="FF000000"/>
        <rFont val="Arial"/>
        <family val="2"/>
        <scheme val="minor"/>
      </rPr>
      <t xml:space="preserve"> Electroni to Electronics in Column H</t>
    </r>
  </si>
  <si>
    <r>
      <rPr>
        <b/>
        <sz val="10"/>
        <color rgb="FF000000"/>
        <rFont val="Arial"/>
        <family val="2"/>
        <scheme val="minor"/>
      </rPr>
      <t xml:space="preserve">C) </t>
    </r>
    <r>
      <rPr>
        <sz val="10"/>
        <color rgb="FF000000"/>
        <rFont val="Arial"/>
        <family val="2"/>
        <scheme val="minor"/>
      </rPr>
      <t>Corrected using Find and Replace from Category in Column H and Product Name in Column I</t>
    </r>
  </si>
  <si>
    <t xml:space="preserve">Removed Duplicated </t>
  </si>
  <si>
    <t>Manufacturing Date</t>
  </si>
  <si>
    <t>Country Code</t>
  </si>
  <si>
    <t>Splited  the "Product ID" column into two separate columns for " Manufacturing Date" and "Country Code"</t>
  </si>
  <si>
    <t>Product Brand</t>
  </si>
  <si>
    <t>Concatenated Brand Name and Product Name</t>
  </si>
  <si>
    <t xml:space="preserve">Formated the data type of the "Price" column to currency format. </t>
  </si>
  <si>
    <t>Manufacturing Date in dd-mm-yyyy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</si>
</sst>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$-45C]#,##0.00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9" fillId="0" borderId="0" xfId="0" applyFont="1"/>
    <xf numFmtId="0" fontId="8" fillId="0" borderId="0" xfId="0" applyFont="1"/>
    <xf numFmtId="166" fontId="5" fillId="0" borderId="0" xfId="0" applyNumberFormat="1" applyFont="1"/>
    <xf numFmtId="166" fontId="5" fillId="3" borderId="0" xfId="0" applyNumberFormat="1" applyFont="1" applyFill="1"/>
    <xf numFmtId="14" fontId="5" fillId="3" borderId="0" xfId="0" applyNumberFormat="1" applyFont="1" applyFill="1"/>
    <xf numFmtId="14" fontId="0" fillId="0" borderId="0" xfId="0" applyNumberFormat="1"/>
    <xf numFmtId="0" fontId="7" fillId="2" borderId="0" xfId="0" applyFont="1" applyFill="1" applyAlignment="1">
      <alignment vertical="center"/>
    </xf>
    <xf numFmtId="14" fontId="5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6"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[$$-45C]#,##0.00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124691</xdr:colOff>
      <xdr:row>49</xdr:row>
      <xdr:rowOff>166255</xdr:rowOff>
    </xdr:from>
    <xdr:to>
      <xdr:col>6</xdr:col>
      <xdr:colOff>499187</xdr:colOff>
      <xdr:row>61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E00558-BC51-4242-9E61-EECBF0127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2364" y="9670473"/>
          <a:ext cx="4877223" cy="21613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6</xdr:col>
      <xdr:colOff>793632</xdr:colOff>
      <xdr:row>93</xdr:row>
      <xdr:rowOff>84924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79D01B-1B30-97C4-DD8E-B87C4DDD8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07673" y="13383491"/>
          <a:ext cx="5296359" cy="474005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522031-7299-4E08-B9C3-00ACBC02EAF5}" name="Table1" displayName="Table1" ref="A1:M32" totalsRowShown="0" headerRowDxfId="15" dataDxfId="14">
  <autoFilter ref="A1:M32" xr:uid="{06522031-7299-4E08-B9C3-00ACBC02EAF5}"/>
  <tableColumns count="13">
    <tableColumn id="1" xr3:uid="{40EF90D4-9687-4B3A-8F74-ADD880D8F36D}" name="Product ID" dataDxfId="13"/>
    <tableColumn id="2" xr3:uid="{C7858263-54D0-4BB0-9B13-2156A2FCD047}" name="Product Name" dataDxfId="12"/>
    <tableColumn id="7" xr3:uid="{47D81C0F-9118-4F63-AA2C-D4913A8CA3E9}" name="Proper Function" dataDxfId="11">
      <calculatedColumnFormula>PROPER(Table1[Product Name])</calculatedColumnFormula>
    </tableColumn>
    <tableColumn id="3" xr3:uid="{770AC8E1-E98B-402C-BC35-19A0AD67221F}" name="Brand Name" dataDxfId="8"/>
    <tableColumn id="4" xr3:uid="{A282A877-5FF2-4A73-A29C-C2B87C7A9F20}" name="Price ($)" dataDxfId="6"/>
    <tableColumn id="5" xr3:uid="{A46514C6-3159-47F7-85AE-E670EBEF8CC3}" name="Quantity" dataDxfId="7"/>
    <tableColumn id="6" xr3:uid="{D9757370-24B5-4EB4-A9F2-6C3C2B42D3C3}" name="Category" dataDxfId="10"/>
    <tableColumn id="8" xr3:uid="{24ED66D2-A79D-4E4F-A5F2-8385FAD783EC}" name="Category  After Find and Replace" dataDxfId="9"/>
    <tableColumn id="9" xr3:uid="{CA6775D3-0D65-4900-9B6D-7ACFF57AB29E}" name="Product Name after Find and Replace2" dataDxfId="5"/>
    <tableColumn id="11" xr3:uid="{37E46E6C-53F1-4A62-A312-306365CE7939}" name="Manufacturing Date" dataDxfId="3">
      <calculatedColumnFormula>LEFT(Table1[[#This Row],[Product ID]],LEN(Table1[[#This Row],[Product ID]]) -3)</calculatedColumnFormula>
    </tableColumn>
    <tableColumn id="12" xr3:uid="{8BEF03D0-FA0A-4B2F-A1CB-7D4FA89B6EA1}" name="Country Code" dataDxfId="4">
      <calculatedColumnFormula>RIGHT(Table1[[#This Row],[Product ID]],2)</calculatedColumnFormula>
    </tableColumn>
    <tableColumn id="13" xr3:uid="{C0D8722B-59FA-4E9D-91A8-FCE9C9CBD22A}" name="Product Brand" dataDxfId="2">
      <calculatedColumnFormula>CONCATENATE(Table1[[#This Row],[Brand Name]]," ",Table1[[#This Row],[Proper Function]])</calculatedColumnFormula>
    </tableColumn>
    <tableColumn id="14" xr3:uid="{E21562FE-EAAB-4B6F-9040-E758FFD2F846}" name="Manufacturing Date in dd-mm-yyyy format" dataDxfId="1">
      <calculatedColumnFormula>DATE(2025,MONTH(DATEVALUE(MID(J2,4,3)&amp;" 1")),VALUE(LEFT(J2,2)))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abSelected="1" workbookViewId="0">
      <selection activeCell="C25" sqref="C25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000"/>
  <sheetViews>
    <sheetView zoomScale="55" zoomScaleNormal="55" workbookViewId="0">
      <selection activeCell="K41" sqref="K41"/>
    </sheetView>
  </sheetViews>
  <sheetFormatPr defaultColWidth="12.6640625" defaultRowHeight="15" customHeight="1" x14ac:dyDescent="0.25"/>
  <cols>
    <col min="1" max="1" width="12.6640625" customWidth="1"/>
    <col min="2" max="2" width="23.77734375" customWidth="1"/>
    <col min="3" max="3" width="19.88671875" customWidth="1"/>
    <col min="4" max="4" width="15.6640625" customWidth="1"/>
    <col min="5" max="5" width="17.33203125" customWidth="1"/>
    <col min="6" max="6" width="12.6640625" customWidth="1"/>
    <col min="7" max="7" width="17.6640625" customWidth="1"/>
    <col min="8" max="8" width="30" customWidth="1"/>
    <col min="9" max="9" width="44.5546875" customWidth="1"/>
    <col min="10" max="10" width="31.21875" customWidth="1"/>
    <col min="11" max="11" width="24.77734375" customWidth="1"/>
    <col min="12" max="12" width="27.5546875" customWidth="1"/>
    <col min="13" max="13" width="48.88671875" customWidth="1"/>
  </cols>
  <sheetData>
    <row r="1" spans="1:17" ht="15.75" customHeight="1" x14ac:dyDescent="0.25">
      <c r="A1" s="7" t="s">
        <v>19</v>
      </c>
      <c r="B1" s="7" t="s">
        <v>20</v>
      </c>
      <c r="C1" s="7" t="s">
        <v>121</v>
      </c>
      <c r="D1" s="7" t="s">
        <v>21</v>
      </c>
      <c r="E1" s="7" t="s">
        <v>22</v>
      </c>
      <c r="F1" s="7" t="s">
        <v>23</v>
      </c>
      <c r="G1" s="7" t="s">
        <v>24</v>
      </c>
      <c r="H1" s="7" t="s">
        <v>124</v>
      </c>
      <c r="I1" s="7" t="s">
        <v>123</v>
      </c>
      <c r="J1" s="7" t="s">
        <v>128</v>
      </c>
      <c r="K1" s="7" t="s">
        <v>129</v>
      </c>
      <c r="L1" s="7" t="s">
        <v>131</v>
      </c>
      <c r="M1" s="15" t="s">
        <v>134</v>
      </c>
    </row>
    <row r="2" spans="1:17" ht="15.75" customHeight="1" x14ac:dyDescent="0.25">
      <c r="A2" s="5" t="s">
        <v>25</v>
      </c>
      <c r="B2" s="5" t="s">
        <v>26</v>
      </c>
      <c r="C2" s="5" t="str">
        <f>PROPER(Table1[Product Name])</f>
        <v>Laptop</v>
      </c>
      <c r="D2" s="5" t="s">
        <v>27</v>
      </c>
      <c r="E2" s="11">
        <v>1000</v>
      </c>
      <c r="F2" s="5">
        <v>30</v>
      </c>
      <c r="G2" s="5" t="s">
        <v>28</v>
      </c>
      <c r="H2" s="5" t="s">
        <v>28</v>
      </c>
      <c r="I2" s="5" t="s">
        <v>61</v>
      </c>
      <c r="J2" s="13" t="str">
        <f>LEFT(Table1[[#This Row],[Product ID]],LEN(Table1[[#This Row],[Product ID]]) -3)</f>
        <v>28-JAN</v>
      </c>
      <c r="K2" s="8" t="str">
        <f>RIGHT(Table1[[#This Row],[Product ID]],2)</f>
        <v>US</v>
      </c>
      <c r="L2" s="8" t="str">
        <f>CONCATENATE(Table1[[#This Row],[Brand Name]]," ",Table1[[#This Row],[Proper Function]])</f>
        <v>Dell Laptop</v>
      </c>
      <c r="M2" s="16">
        <f t="shared" ref="M2:M32" si="0">DATE(2025,MONTH(DATEVALUE(MID(J2,4,3)&amp;" 1")),VALUE(LEFT(J2,2)))</f>
        <v>45685</v>
      </c>
    </row>
    <row r="3" spans="1:17" ht="15.75" customHeight="1" x14ac:dyDescent="0.25">
      <c r="A3" s="8" t="s">
        <v>29</v>
      </c>
      <c r="B3" s="8" t="s">
        <v>30</v>
      </c>
      <c r="C3" s="8" t="str">
        <f>PROPER(Table1[Product Name])</f>
        <v>Sneakers</v>
      </c>
      <c r="D3" s="8" t="s">
        <v>31</v>
      </c>
      <c r="E3" s="12">
        <v>80</v>
      </c>
      <c r="F3" s="8">
        <v>15</v>
      </c>
      <c r="G3" s="8" t="s">
        <v>32</v>
      </c>
      <c r="H3" s="8" t="s">
        <v>32</v>
      </c>
      <c r="I3" s="8" t="s">
        <v>30</v>
      </c>
      <c r="J3" s="13" t="str">
        <f>LEFT(Table1[[#This Row],[Product ID]],LEN(Table1[[#This Row],[Product ID]]) -3)</f>
        <v>15-FEB</v>
      </c>
      <c r="K3" s="8" t="str">
        <f>RIGHT(Table1[[#This Row],[Product ID]],2)</f>
        <v>US</v>
      </c>
      <c r="L3" s="8" t="str">
        <f>CONCATENATE(Table1[[#This Row],[Brand Name]]," ",Table1[[#This Row],[Proper Function]])</f>
        <v>Nike Sneakers</v>
      </c>
      <c r="M3" s="16">
        <f t="shared" si="0"/>
        <v>45703</v>
      </c>
      <c r="N3" s="5"/>
      <c r="O3" s="5"/>
      <c r="P3" s="5"/>
      <c r="Q3" s="5"/>
    </row>
    <row r="4" spans="1:17" ht="15.75" customHeight="1" x14ac:dyDescent="0.25">
      <c r="A4" s="5" t="s">
        <v>33</v>
      </c>
      <c r="B4" s="5" t="s">
        <v>34</v>
      </c>
      <c r="C4" s="5" t="str">
        <f>PROPER(Table1[Product Name])</f>
        <v>Coffee Maker</v>
      </c>
      <c r="D4" s="5" t="s">
        <v>35</v>
      </c>
      <c r="E4" s="11">
        <v>130</v>
      </c>
      <c r="F4" s="5">
        <v>40</v>
      </c>
      <c r="G4" s="5" t="s">
        <v>36</v>
      </c>
      <c r="H4" s="5" t="s">
        <v>36</v>
      </c>
      <c r="I4" s="5" t="s">
        <v>34</v>
      </c>
      <c r="J4" s="13" t="str">
        <f>LEFT(Table1[[#This Row],[Product ID]],LEN(Table1[[#This Row],[Product ID]]) -3)</f>
        <v>03-MAR</v>
      </c>
      <c r="K4" s="8" t="str">
        <f>RIGHT(Table1[[#This Row],[Product ID]],2)</f>
        <v>US</v>
      </c>
      <c r="L4" s="8" t="str">
        <f>CONCATENATE(Table1[[#This Row],[Brand Name]]," ",Table1[[#This Row],[Proper Function]])</f>
        <v>Keurig Coffee Maker</v>
      </c>
      <c r="M4" s="16">
        <f t="shared" si="0"/>
        <v>45719</v>
      </c>
      <c r="N4" s="5"/>
      <c r="O4" s="5"/>
      <c r="P4" s="5"/>
      <c r="Q4" s="5"/>
    </row>
    <row r="5" spans="1:17" ht="15.75" customHeight="1" x14ac:dyDescent="0.25">
      <c r="A5" s="8" t="s">
        <v>37</v>
      </c>
      <c r="B5" s="8" t="s">
        <v>38</v>
      </c>
      <c r="C5" s="8" t="str">
        <f>PROPER(Table1[Product Name])</f>
        <v>Smartphone</v>
      </c>
      <c r="D5" s="8" t="s">
        <v>39</v>
      </c>
      <c r="E5" s="12">
        <v>900</v>
      </c>
      <c r="F5" s="8">
        <v>25</v>
      </c>
      <c r="G5" s="8" t="s">
        <v>28</v>
      </c>
      <c r="H5" s="8" t="s">
        <v>28</v>
      </c>
      <c r="I5" s="8" t="s">
        <v>96</v>
      </c>
      <c r="J5" s="13" t="str">
        <f>LEFT(Table1[[#This Row],[Product ID]],LEN(Table1[[#This Row],[Product ID]]) -3)</f>
        <v>11-APR</v>
      </c>
      <c r="K5" s="8" t="str">
        <f>RIGHT(Table1[[#This Row],[Product ID]],2)</f>
        <v>US</v>
      </c>
      <c r="L5" s="8" t="str">
        <f>CONCATENATE(Table1[[#This Row],[Brand Name]]," ",Table1[[#This Row],[Proper Function]])</f>
        <v>Samsung Smartphone</v>
      </c>
      <c r="M5" s="16">
        <f t="shared" si="0"/>
        <v>45758</v>
      </c>
      <c r="N5" s="5"/>
      <c r="O5" s="5"/>
      <c r="P5" s="5"/>
      <c r="Q5" s="5"/>
    </row>
    <row r="6" spans="1:17" ht="15.75" customHeight="1" x14ac:dyDescent="0.25">
      <c r="A6" s="5" t="s">
        <v>40</v>
      </c>
      <c r="B6" s="5" t="s">
        <v>41</v>
      </c>
      <c r="C6" s="5" t="str">
        <f>PROPER(Table1[Product Name])</f>
        <v>Backpack</v>
      </c>
      <c r="D6" s="5" t="s">
        <v>42</v>
      </c>
      <c r="E6" s="11">
        <v>70</v>
      </c>
      <c r="F6" s="5">
        <v>20</v>
      </c>
      <c r="G6" s="5"/>
      <c r="H6" s="5"/>
      <c r="I6" s="5" t="s">
        <v>41</v>
      </c>
      <c r="J6" s="13" t="str">
        <f>LEFT(Table1[[#This Row],[Product ID]],LEN(Table1[[#This Row],[Product ID]]) -3)</f>
        <v>22-MAY</v>
      </c>
      <c r="K6" s="8" t="str">
        <f>RIGHT(Table1[[#This Row],[Product ID]],2)</f>
        <v>US</v>
      </c>
      <c r="L6" s="8" t="str">
        <f>CONCATENATE(Table1[[#This Row],[Brand Name]]," ",Table1[[#This Row],[Proper Function]])</f>
        <v>North Face Backpack</v>
      </c>
      <c r="M6" s="16">
        <f t="shared" si="0"/>
        <v>45799</v>
      </c>
    </row>
    <row r="7" spans="1:17" ht="15.75" customHeight="1" x14ac:dyDescent="0.25">
      <c r="A7" s="8" t="s">
        <v>43</v>
      </c>
      <c r="B7" s="8" t="s">
        <v>44</v>
      </c>
      <c r="C7" s="8" t="str">
        <f>PROPER(Table1[Product Name])</f>
        <v>Headphones</v>
      </c>
      <c r="D7" s="8" t="s">
        <v>45</v>
      </c>
      <c r="E7" s="12"/>
      <c r="F7" s="8">
        <v>45</v>
      </c>
      <c r="G7" s="8" t="s">
        <v>46</v>
      </c>
      <c r="H7" s="8" t="s">
        <v>28</v>
      </c>
      <c r="I7" s="8" t="s">
        <v>44</v>
      </c>
      <c r="J7" s="13" t="str">
        <f>LEFT(Table1[[#This Row],[Product ID]],LEN(Table1[[#This Row],[Product ID]]) -3)</f>
        <v>07-JUN</v>
      </c>
      <c r="K7" s="8" t="str">
        <f>RIGHT(Table1[[#This Row],[Product ID]],2)</f>
        <v>UK</v>
      </c>
      <c r="L7" s="8" t="str">
        <f>CONCATENATE(Table1[[#This Row],[Brand Name]]," ",Table1[[#This Row],[Proper Function]])</f>
        <v>Sony Headphones</v>
      </c>
      <c r="M7" s="16">
        <f t="shared" si="0"/>
        <v>45815</v>
      </c>
    </row>
    <row r="8" spans="1:17" ht="15.75" customHeight="1" x14ac:dyDescent="0.25">
      <c r="A8" s="5" t="s">
        <v>47</v>
      </c>
      <c r="B8" s="5" t="s">
        <v>48</v>
      </c>
      <c r="C8" s="5" t="str">
        <f>PROPER(Table1[Product Name])</f>
        <v>T-Shirt</v>
      </c>
      <c r="D8" s="5" t="s">
        <v>49</v>
      </c>
      <c r="E8" s="11">
        <v>30</v>
      </c>
      <c r="F8" s="5">
        <v>5</v>
      </c>
      <c r="G8" s="5" t="s">
        <v>32</v>
      </c>
      <c r="H8" s="5" t="s">
        <v>32</v>
      </c>
      <c r="I8" s="5" t="s">
        <v>48</v>
      </c>
      <c r="J8" s="13" t="str">
        <f>LEFT(Table1[[#This Row],[Product ID]],LEN(Table1[[#This Row],[Product ID]]) -3)</f>
        <v>19-JUL</v>
      </c>
      <c r="K8" s="8" t="str">
        <f>RIGHT(Table1[[#This Row],[Product ID]],2)</f>
        <v>UK</v>
      </c>
      <c r="L8" s="8" t="str">
        <f>CONCATENATE(Table1[[#This Row],[Brand Name]]," ",Table1[[#This Row],[Proper Function]])</f>
        <v>Adidas T-Shirt</v>
      </c>
      <c r="M8" s="16">
        <f t="shared" si="0"/>
        <v>45857</v>
      </c>
    </row>
    <row r="9" spans="1:17" ht="15.75" customHeight="1" x14ac:dyDescent="0.25">
      <c r="A9" s="8" t="s">
        <v>50</v>
      </c>
      <c r="B9" s="8" t="s">
        <v>51</v>
      </c>
      <c r="C9" s="8" t="str">
        <f>PROPER(Table1[Product Name])</f>
        <v>Blender</v>
      </c>
      <c r="D9" s="8" t="s">
        <v>52</v>
      </c>
      <c r="E9" s="12">
        <v>90</v>
      </c>
      <c r="F9" s="8">
        <v>35</v>
      </c>
      <c r="G9" s="8" t="s">
        <v>36</v>
      </c>
      <c r="H9" s="8" t="s">
        <v>36</v>
      </c>
      <c r="I9" s="8" t="s">
        <v>51</v>
      </c>
      <c r="J9" s="13" t="str">
        <f>LEFT(Table1[[#This Row],[Product ID]],LEN(Table1[[#This Row],[Product ID]]) -3)</f>
        <v>23-AUG</v>
      </c>
      <c r="K9" s="8" t="str">
        <f>RIGHT(Table1[[#This Row],[Product ID]],2)</f>
        <v>UK</v>
      </c>
      <c r="L9" s="8" t="str">
        <f>CONCATENATE(Table1[[#This Row],[Brand Name]]," ",Table1[[#This Row],[Proper Function]])</f>
        <v>Ninja Blender</v>
      </c>
      <c r="M9" s="16">
        <f t="shared" si="0"/>
        <v>45892</v>
      </c>
    </row>
    <row r="10" spans="1:17" ht="15.75" customHeight="1" x14ac:dyDescent="0.25">
      <c r="A10" s="5" t="s">
        <v>53</v>
      </c>
      <c r="B10" s="5" t="s">
        <v>54</v>
      </c>
      <c r="C10" s="5" t="str">
        <f>PROPER(Table1[Product Name])</f>
        <v>Tablet</v>
      </c>
      <c r="D10" s="5" t="s">
        <v>55</v>
      </c>
      <c r="E10" s="11">
        <v>500</v>
      </c>
      <c r="F10" s="5">
        <v>50</v>
      </c>
      <c r="G10" s="5" t="s">
        <v>28</v>
      </c>
      <c r="H10" s="5" t="s">
        <v>28</v>
      </c>
      <c r="I10" s="5" t="s">
        <v>54</v>
      </c>
      <c r="J10" s="13" t="str">
        <f>LEFT(Table1[[#This Row],[Product ID]],LEN(Table1[[#This Row],[Product ID]]) -3)</f>
        <v>05-SEP</v>
      </c>
      <c r="K10" s="8" t="str">
        <f>RIGHT(Table1[[#This Row],[Product ID]],2)</f>
        <v>UK</v>
      </c>
      <c r="L10" s="8" t="str">
        <f>CONCATENATE(Table1[[#This Row],[Brand Name]]," ",Table1[[#This Row],[Proper Function]])</f>
        <v>Apple Tablet</v>
      </c>
      <c r="M10" s="16">
        <f t="shared" si="0"/>
        <v>45905</v>
      </c>
    </row>
    <row r="11" spans="1:17" ht="15.75" customHeight="1" x14ac:dyDescent="0.25">
      <c r="A11" s="8" t="s">
        <v>56</v>
      </c>
      <c r="B11" s="8" t="s">
        <v>57</v>
      </c>
      <c r="C11" s="8" t="str">
        <f>PROPER(Table1[Product Name])</f>
        <v>Hiking Boots</v>
      </c>
      <c r="D11" s="8" t="s">
        <v>58</v>
      </c>
      <c r="E11" s="12">
        <v>130</v>
      </c>
      <c r="F11" s="8">
        <v>10</v>
      </c>
      <c r="G11" s="8" t="s">
        <v>59</v>
      </c>
      <c r="H11" s="8" t="s">
        <v>59</v>
      </c>
      <c r="I11" s="8" t="s">
        <v>57</v>
      </c>
      <c r="J11" s="13" t="str">
        <f>LEFT(Table1[[#This Row],[Product ID]],LEN(Table1[[#This Row],[Product ID]]) -3)</f>
        <v>14-OCT</v>
      </c>
      <c r="K11" s="8" t="str">
        <f>RIGHT(Table1[[#This Row],[Product ID]],2)</f>
        <v>UK</v>
      </c>
      <c r="L11" s="8" t="str">
        <f>CONCATENATE(Table1[[#This Row],[Brand Name]]," ",Table1[[#This Row],[Proper Function]])</f>
        <v>Timberland Hiking Boots</v>
      </c>
      <c r="M11" s="16">
        <f t="shared" si="0"/>
        <v>45944</v>
      </c>
    </row>
    <row r="12" spans="1:17" ht="15.75" customHeight="1" x14ac:dyDescent="0.25">
      <c r="A12" s="5" t="s">
        <v>60</v>
      </c>
      <c r="B12" s="5" t="s">
        <v>61</v>
      </c>
      <c r="C12" s="5" t="str">
        <f>PROPER(Table1[Product Name])</f>
        <v>Laptop</v>
      </c>
      <c r="D12" s="5" t="s">
        <v>62</v>
      </c>
      <c r="E12" s="11">
        <v>950</v>
      </c>
      <c r="F12" s="5">
        <v>25</v>
      </c>
      <c r="G12" s="5" t="s">
        <v>28</v>
      </c>
      <c r="H12" s="5" t="s">
        <v>28</v>
      </c>
      <c r="I12" s="5" t="s">
        <v>61</v>
      </c>
      <c r="J12" s="13" t="str">
        <f>LEFT(Table1[[#This Row],[Product ID]],LEN(Table1[[#This Row],[Product ID]]) -3)</f>
        <v>17-JUN</v>
      </c>
      <c r="K12" s="8" t="str">
        <f>RIGHT(Table1[[#This Row],[Product ID]],2)</f>
        <v>IN</v>
      </c>
      <c r="L12" s="8" t="str">
        <f>CONCATENATE(Table1[[#This Row],[Brand Name]]," ",Table1[[#This Row],[Proper Function]])</f>
        <v>HP Laptop</v>
      </c>
      <c r="M12" s="16">
        <f t="shared" si="0"/>
        <v>45825</v>
      </c>
    </row>
    <row r="13" spans="1:17" ht="15.75" customHeight="1" x14ac:dyDescent="0.25">
      <c r="A13" s="8" t="s">
        <v>63</v>
      </c>
      <c r="B13" s="8" t="s">
        <v>30</v>
      </c>
      <c r="C13" s="8" t="str">
        <f>PROPER(Table1[Product Name])</f>
        <v>Sneakers</v>
      </c>
      <c r="D13" s="8" t="s">
        <v>49</v>
      </c>
      <c r="E13" s="12">
        <v>90</v>
      </c>
      <c r="F13" s="8">
        <v>40</v>
      </c>
      <c r="G13" s="8"/>
      <c r="H13" s="8"/>
      <c r="I13" s="8" t="s">
        <v>30</v>
      </c>
      <c r="J13" s="13" t="str">
        <f>LEFT(Table1[[#This Row],[Product ID]],LEN(Table1[[#This Row],[Product ID]]) -3)</f>
        <v>25-NOV</v>
      </c>
      <c r="K13" s="8" t="str">
        <f>RIGHT(Table1[[#This Row],[Product ID]],2)</f>
        <v>AU</v>
      </c>
      <c r="L13" s="8" t="str">
        <f>CONCATENATE(Table1[[#This Row],[Brand Name]]," ",Table1[[#This Row],[Proper Function]])</f>
        <v>Adidas Sneakers</v>
      </c>
      <c r="M13" s="16">
        <f t="shared" si="0"/>
        <v>45986</v>
      </c>
    </row>
    <row r="14" spans="1:17" ht="15.75" customHeight="1" x14ac:dyDescent="0.25">
      <c r="A14" s="5" t="s">
        <v>64</v>
      </c>
      <c r="B14" s="5" t="s">
        <v>34</v>
      </c>
      <c r="C14" s="5" t="str">
        <f>PROPER(Table1[Product Name])</f>
        <v>Coffee Maker</v>
      </c>
      <c r="D14" s="5" t="s">
        <v>65</v>
      </c>
      <c r="E14" s="11">
        <v>120</v>
      </c>
      <c r="F14" s="5">
        <v>35</v>
      </c>
      <c r="G14" s="5"/>
      <c r="H14" s="5"/>
      <c r="I14" s="5" t="s">
        <v>34</v>
      </c>
      <c r="J14" s="13" t="str">
        <f>LEFT(Table1[[#This Row],[Product ID]],LEN(Table1[[#This Row],[Product ID]]) -3)</f>
        <v>08-DEC</v>
      </c>
      <c r="K14" s="8" t="str">
        <f>RIGHT(Table1[[#This Row],[Product ID]],2)</f>
        <v>DE</v>
      </c>
      <c r="L14" s="8" t="str">
        <f>CONCATENATE(Table1[[#This Row],[Brand Name]]," ",Table1[[#This Row],[Proper Function]])</f>
        <v>Nespresso Coffee Maker</v>
      </c>
      <c r="M14" s="16">
        <f t="shared" si="0"/>
        <v>45999</v>
      </c>
    </row>
    <row r="15" spans="1:17" ht="15.75" customHeight="1" x14ac:dyDescent="0.25">
      <c r="A15" s="8" t="s">
        <v>66</v>
      </c>
      <c r="B15" s="8" t="s">
        <v>67</v>
      </c>
      <c r="C15" s="8" t="str">
        <f>PROPER(Table1[Product Name])</f>
        <v>Smartwatch</v>
      </c>
      <c r="D15" s="8" t="s">
        <v>68</v>
      </c>
      <c r="E15" s="12">
        <v>150</v>
      </c>
      <c r="F15" s="8">
        <v>15</v>
      </c>
      <c r="G15" s="8" t="s">
        <v>46</v>
      </c>
      <c r="H15" s="8" t="s">
        <v>28</v>
      </c>
      <c r="I15" s="8" t="s">
        <v>67</v>
      </c>
      <c r="J15" s="13" t="str">
        <f>LEFT(Table1[[#This Row],[Product ID]],LEN(Table1[[#This Row],[Product ID]]) -3)</f>
        <v>18-FEB</v>
      </c>
      <c r="K15" s="8" t="str">
        <f>RIGHT(Table1[[#This Row],[Product ID]],2)</f>
        <v>CA</v>
      </c>
      <c r="L15" s="8" t="str">
        <f>CONCATENATE(Table1[[#This Row],[Brand Name]]," ",Table1[[#This Row],[Proper Function]])</f>
        <v>Fitbit Smartwatch</v>
      </c>
      <c r="M15" s="16">
        <f t="shared" si="0"/>
        <v>45706</v>
      </c>
    </row>
    <row r="16" spans="1:17" ht="15.75" customHeight="1" x14ac:dyDescent="0.25">
      <c r="A16" s="5" t="s">
        <v>69</v>
      </c>
      <c r="B16" s="5" t="s">
        <v>70</v>
      </c>
      <c r="C16" s="5" t="str">
        <f>PROPER(Table1[Product Name])</f>
        <v>Headphones</v>
      </c>
      <c r="D16" s="5" t="s">
        <v>71</v>
      </c>
      <c r="E16" s="11">
        <v>250</v>
      </c>
      <c r="F16" s="5">
        <v>20</v>
      </c>
      <c r="G16" s="5" t="s">
        <v>46</v>
      </c>
      <c r="H16" s="5" t="s">
        <v>28</v>
      </c>
      <c r="I16" s="5" t="s">
        <v>44</v>
      </c>
      <c r="J16" s="13" t="str">
        <f>LEFT(Table1[[#This Row],[Product ID]],LEN(Table1[[#This Row],[Product ID]]) -3)</f>
        <v>16-APR</v>
      </c>
      <c r="K16" s="8" t="str">
        <f>RIGHT(Table1[[#This Row],[Product ID]],2)</f>
        <v>ES</v>
      </c>
      <c r="L16" s="8" t="str">
        <f>CONCATENATE(Table1[[#This Row],[Brand Name]]," ",Table1[[#This Row],[Proper Function]])</f>
        <v>Bose Headphones</v>
      </c>
      <c r="M16" s="16">
        <f t="shared" si="0"/>
        <v>45763</v>
      </c>
    </row>
    <row r="17" spans="1:13" ht="15.75" customHeight="1" x14ac:dyDescent="0.25">
      <c r="A17" s="8" t="s">
        <v>72</v>
      </c>
      <c r="B17" s="8" t="s">
        <v>73</v>
      </c>
      <c r="C17" s="8" t="str">
        <f>PROPER(Table1[Product Name])</f>
        <v>Laptop Bag</v>
      </c>
      <c r="D17" s="8" t="s">
        <v>74</v>
      </c>
      <c r="E17" s="12">
        <v>50</v>
      </c>
      <c r="F17" s="8">
        <v>35</v>
      </c>
      <c r="G17" s="8" t="s">
        <v>75</v>
      </c>
      <c r="H17" s="8" t="s">
        <v>75</v>
      </c>
      <c r="I17" s="8" t="s">
        <v>73</v>
      </c>
      <c r="J17" s="13" t="str">
        <f>LEFT(Table1[[#This Row],[Product ID]],LEN(Table1[[#This Row],[Product ID]]) -3)</f>
        <v>21-AUG</v>
      </c>
      <c r="K17" s="8" t="str">
        <f>RIGHT(Table1[[#This Row],[Product ID]],2)</f>
        <v>CA</v>
      </c>
      <c r="L17" s="8" t="str">
        <f>CONCATENATE(Table1[[#This Row],[Brand Name]]," ",Table1[[#This Row],[Proper Function]])</f>
        <v>Samsonite Laptop Bag</v>
      </c>
      <c r="M17" s="16">
        <f t="shared" si="0"/>
        <v>45890</v>
      </c>
    </row>
    <row r="18" spans="1:13" ht="15.75" customHeight="1" x14ac:dyDescent="0.25">
      <c r="A18" s="5" t="s">
        <v>76</v>
      </c>
      <c r="B18" s="5" t="s">
        <v>67</v>
      </c>
      <c r="C18" s="5" t="str">
        <f>PROPER(Table1[Product Name])</f>
        <v>Smartwatch</v>
      </c>
      <c r="D18" s="5" t="s">
        <v>77</v>
      </c>
      <c r="E18" s="11">
        <v>160</v>
      </c>
      <c r="F18" s="5">
        <v>15</v>
      </c>
      <c r="G18" s="5" t="s">
        <v>46</v>
      </c>
      <c r="H18" s="5" t="s">
        <v>28</v>
      </c>
      <c r="I18" s="5" t="s">
        <v>67</v>
      </c>
      <c r="J18" s="13" t="str">
        <f>LEFT(Table1[[#This Row],[Product ID]],LEN(Table1[[#This Row],[Product ID]]) -3)</f>
        <v>20-AUG</v>
      </c>
      <c r="K18" s="8" t="str">
        <f>RIGHT(Table1[[#This Row],[Product ID]],2)</f>
        <v>CN</v>
      </c>
      <c r="L18" s="8" t="str">
        <f>CONCATENATE(Table1[[#This Row],[Brand Name]]," ",Table1[[#This Row],[Proper Function]])</f>
        <v>Huawei Smartwatch</v>
      </c>
      <c r="M18" s="16">
        <f t="shared" si="0"/>
        <v>45889</v>
      </c>
    </row>
    <row r="19" spans="1:13" ht="15.75" customHeight="1" x14ac:dyDescent="0.25">
      <c r="A19" s="8" t="s">
        <v>78</v>
      </c>
      <c r="B19" s="8" t="s">
        <v>26</v>
      </c>
      <c r="C19" s="8" t="str">
        <f>PROPER(Table1[Product Name])</f>
        <v>Laptop</v>
      </c>
      <c r="D19" s="8" t="s">
        <v>79</v>
      </c>
      <c r="E19" s="12">
        <v>980</v>
      </c>
      <c r="F19" s="8">
        <v>10</v>
      </c>
      <c r="G19" s="8" t="s">
        <v>28</v>
      </c>
      <c r="H19" s="8" t="s">
        <v>28</v>
      </c>
      <c r="I19" s="8" t="s">
        <v>61</v>
      </c>
      <c r="J19" s="13" t="str">
        <f>LEFT(Table1[[#This Row],[Product ID]],LEN(Table1[[#This Row],[Product ID]]) -3)</f>
        <v>27-JAN</v>
      </c>
      <c r="K19" s="8" t="str">
        <f>RIGHT(Table1[[#This Row],[Product ID]],2)</f>
        <v>IT</v>
      </c>
      <c r="L19" s="8" t="str">
        <f>CONCATENATE(Table1[[#This Row],[Brand Name]]," ",Table1[[#This Row],[Proper Function]])</f>
        <v>Asus Laptop</v>
      </c>
      <c r="M19" s="16">
        <f t="shared" si="0"/>
        <v>45684</v>
      </c>
    </row>
    <row r="20" spans="1:13" ht="15.75" customHeight="1" x14ac:dyDescent="0.25">
      <c r="A20" s="5" t="s">
        <v>80</v>
      </c>
      <c r="B20" s="5" t="s">
        <v>81</v>
      </c>
      <c r="C20" s="5" t="str">
        <f>PROPER(Table1[Product Name])</f>
        <v>Sunglasses</v>
      </c>
      <c r="D20" s="5" t="s">
        <v>82</v>
      </c>
      <c r="E20" s="11">
        <v>150</v>
      </c>
      <c r="F20" s="5">
        <v>15</v>
      </c>
      <c r="G20" s="5" t="s">
        <v>32</v>
      </c>
      <c r="H20" s="5" t="s">
        <v>32</v>
      </c>
      <c r="I20" s="5" t="s">
        <v>81</v>
      </c>
      <c r="J20" s="13" t="str">
        <f>LEFT(Table1[[#This Row],[Product ID]],LEN(Table1[[#This Row],[Product ID]]) -3)</f>
        <v>01-MAR</v>
      </c>
      <c r="K20" s="8" t="str">
        <f>RIGHT(Table1[[#This Row],[Product ID]],2)</f>
        <v>UK</v>
      </c>
      <c r="L20" s="8" t="str">
        <f>CONCATENATE(Table1[[#This Row],[Brand Name]]," ",Table1[[#This Row],[Proper Function]])</f>
        <v>Oakley Sunglasses</v>
      </c>
      <c r="M20" s="16">
        <f t="shared" si="0"/>
        <v>45717</v>
      </c>
    </row>
    <row r="21" spans="1:13" ht="15.75" customHeight="1" x14ac:dyDescent="0.25">
      <c r="A21" s="8" t="s">
        <v>83</v>
      </c>
      <c r="B21" s="8" t="s">
        <v>84</v>
      </c>
      <c r="C21" s="8" t="str">
        <f>PROPER(Table1[Product Name])</f>
        <v>Camping Tent</v>
      </c>
      <c r="D21" s="8" t="s">
        <v>85</v>
      </c>
      <c r="E21" s="12"/>
      <c r="F21" s="8">
        <v>10</v>
      </c>
      <c r="G21" s="8" t="s">
        <v>59</v>
      </c>
      <c r="H21" s="8" t="s">
        <v>59</v>
      </c>
      <c r="I21" s="8" t="s">
        <v>84</v>
      </c>
      <c r="J21" s="13" t="str">
        <f>LEFT(Table1[[#This Row],[Product ID]],LEN(Table1[[#This Row],[Product ID]]) -3)</f>
        <v>14-AUG</v>
      </c>
      <c r="K21" s="8" t="str">
        <f>RIGHT(Table1[[#This Row],[Product ID]],2)</f>
        <v>US</v>
      </c>
      <c r="L21" s="8" t="str">
        <f>CONCATENATE(Table1[[#This Row],[Brand Name]]," ",Table1[[#This Row],[Proper Function]])</f>
        <v>Coleman Camping Tent</v>
      </c>
      <c r="M21" s="16">
        <f t="shared" si="0"/>
        <v>45883</v>
      </c>
    </row>
    <row r="22" spans="1:13" ht="15.75" customHeight="1" x14ac:dyDescent="0.25">
      <c r="A22" s="5" t="s">
        <v>86</v>
      </c>
      <c r="B22" s="5" t="s">
        <v>87</v>
      </c>
      <c r="C22" s="5" t="str">
        <f>PROPER(Table1[Product Name])</f>
        <v>Camera</v>
      </c>
      <c r="D22" s="5" t="s">
        <v>88</v>
      </c>
      <c r="E22" s="11">
        <v>700</v>
      </c>
      <c r="F22" s="5">
        <v>50</v>
      </c>
      <c r="G22" s="5" t="s">
        <v>28</v>
      </c>
      <c r="H22" s="5" t="s">
        <v>28</v>
      </c>
      <c r="I22" s="5" t="s">
        <v>87</v>
      </c>
      <c r="J22" s="13" t="str">
        <f>LEFT(Table1[[#This Row],[Product ID]],LEN(Table1[[#This Row],[Product ID]]) -3)</f>
        <v>14-MAY</v>
      </c>
      <c r="K22" s="8" t="str">
        <f>RIGHT(Table1[[#This Row],[Product ID]],2)</f>
        <v>RU</v>
      </c>
      <c r="L22" s="8" t="str">
        <f>CONCATENATE(Table1[[#This Row],[Brand Name]]," ",Table1[[#This Row],[Proper Function]])</f>
        <v>Nikon Camera</v>
      </c>
      <c r="M22" s="16">
        <f t="shared" si="0"/>
        <v>45791</v>
      </c>
    </row>
    <row r="23" spans="1:13" ht="15.75" customHeight="1" x14ac:dyDescent="0.25">
      <c r="A23" s="8" t="s">
        <v>89</v>
      </c>
      <c r="B23" s="8" t="s">
        <v>90</v>
      </c>
      <c r="C23" s="8" t="str">
        <f>PROPER(Table1[Product Name])</f>
        <v>Microwave</v>
      </c>
      <c r="D23" s="8" t="s">
        <v>91</v>
      </c>
      <c r="E23" s="12">
        <v>80</v>
      </c>
      <c r="F23" s="8">
        <v>20</v>
      </c>
      <c r="G23" s="8" t="s">
        <v>36</v>
      </c>
      <c r="H23" s="8" t="s">
        <v>36</v>
      </c>
      <c r="I23" s="8" t="s">
        <v>90</v>
      </c>
      <c r="J23" s="13" t="str">
        <f>LEFT(Table1[[#This Row],[Product ID]],LEN(Table1[[#This Row],[Product ID]]) -3)</f>
        <v>09-JAN</v>
      </c>
      <c r="K23" s="8" t="str">
        <f>RIGHT(Table1[[#This Row],[Product ID]],2)</f>
        <v>CA</v>
      </c>
      <c r="L23" s="8" t="str">
        <f>CONCATENATE(Table1[[#This Row],[Brand Name]]," ",Table1[[#This Row],[Proper Function]])</f>
        <v>Panasonic Microwave</v>
      </c>
      <c r="M23" s="16">
        <f t="shared" si="0"/>
        <v>45666</v>
      </c>
    </row>
    <row r="24" spans="1:13" ht="15.75" customHeight="1" x14ac:dyDescent="0.25">
      <c r="A24" s="5" t="s">
        <v>92</v>
      </c>
      <c r="B24" s="5" t="s">
        <v>93</v>
      </c>
      <c r="C24" s="5" t="str">
        <f>PROPER(Table1[Product Name])</f>
        <v>Fitness Tracker</v>
      </c>
      <c r="D24" s="5" t="s">
        <v>94</v>
      </c>
      <c r="E24" s="11">
        <v>150</v>
      </c>
      <c r="F24" s="5">
        <v>30</v>
      </c>
      <c r="G24" s="5"/>
      <c r="H24" s="5"/>
      <c r="I24" s="5" t="s">
        <v>93</v>
      </c>
      <c r="J24" s="13" t="str">
        <f>LEFT(Table1[[#This Row],[Product ID]],LEN(Table1[[#This Row],[Product ID]]) -3)</f>
        <v>19-JUL</v>
      </c>
      <c r="K24" s="8" t="str">
        <f>RIGHT(Table1[[#This Row],[Product ID]],2)</f>
        <v>BR</v>
      </c>
      <c r="L24" s="8" t="str">
        <f>CONCATENATE(Table1[[#This Row],[Brand Name]]," ",Table1[[#This Row],[Proper Function]])</f>
        <v>Xiaomi Fitness Tracker</v>
      </c>
      <c r="M24" s="16">
        <f t="shared" si="0"/>
        <v>45857</v>
      </c>
    </row>
    <row r="25" spans="1:13" ht="15.75" customHeight="1" x14ac:dyDescent="0.25">
      <c r="A25" s="5" t="s">
        <v>95</v>
      </c>
      <c r="B25" s="5" t="s">
        <v>96</v>
      </c>
      <c r="C25" s="5" t="str">
        <f>PROPER(Table1[Product Name])</f>
        <v>Smartphone</v>
      </c>
      <c r="D25" s="5" t="s">
        <v>97</v>
      </c>
      <c r="E25" s="11">
        <v>800</v>
      </c>
      <c r="F25" s="5">
        <v>45</v>
      </c>
      <c r="G25" s="5" t="s">
        <v>28</v>
      </c>
      <c r="H25" s="5" t="s">
        <v>28</v>
      </c>
      <c r="I25" s="5" t="s">
        <v>96</v>
      </c>
      <c r="J25" s="13" t="str">
        <f>LEFT(Table1[[#This Row],[Product ID]],LEN(Table1[[#This Row],[Product ID]]) -3)</f>
        <v>29-SEP</v>
      </c>
      <c r="K25" s="8" t="str">
        <f>RIGHT(Table1[[#This Row],[Product ID]],2)</f>
        <v>CA</v>
      </c>
      <c r="L25" s="8" t="str">
        <f>CONCATENATE(Table1[[#This Row],[Brand Name]]," ",Table1[[#This Row],[Proper Function]])</f>
        <v>Google Smartphone</v>
      </c>
      <c r="M25" s="16">
        <f t="shared" si="0"/>
        <v>45929</v>
      </c>
    </row>
    <row r="26" spans="1:13" ht="15.75" customHeight="1" x14ac:dyDescent="0.25">
      <c r="A26" s="8" t="s">
        <v>98</v>
      </c>
      <c r="B26" s="8" t="s">
        <v>81</v>
      </c>
      <c r="C26" s="8" t="str">
        <f>PROPER(Table1[Product Name])</f>
        <v>Sunglasses</v>
      </c>
      <c r="D26" s="8" t="s">
        <v>99</v>
      </c>
      <c r="E26" s="12"/>
      <c r="F26" s="8">
        <v>25</v>
      </c>
      <c r="G26" s="8" t="s">
        <v>32</v>
      </c>
      <c r="H26" s="8" t="s">
        <v>32</v>
      </c>
      <c r="I26" s="8" t="s">
        <v>81</v>
      </c>
      <c r="J26" s="13" t="str">
        <f>LEFT(Table1[[#This Row],[Product ID]],LEN(Table1[[#This Row],[Product ID]]) -3)</f>
        <v>03-JUN</v>
      </c>
      <c r="K26" s="8" t="str">
        <f>RIGHT(Table1[[#This Row],[Product ID]],2)</f>
        <v>CA</v>
      </c>
      <c r="L26" s="8" t="str">
        <f>CONCATENATE(Table1[[#This Row],[Brand Name]]," ",Table1[[#This Row],[Proper Function]])</f>
        <v>Ray-Ban Sunglasses</v>
      </c>
      <c r="M26" s="16">
        <f t="shared" si="0"/>
        <v>45811</v>
      </c>
    </row>
    <row r="27" spans="1:13" ht="15.75" customHeight="1" x14ac:dyDescent="0.25">
      <c r="A27" s="5" t="s">
        <v>100</v>
      </c>
      <c r="B27" s="5" t="s">
        <v>51</v>
      </c>
      <c r="C27" s="5" t="str">
        <f>PROPER(Table1[Product Name])</f>
        <v>Blender</v>
      </c>
      <c r="D27" s="5" t="s">
        <v>101</v>
      </c>
      <c r="E27" s="11">
        <v>400</v>
      </c>
      <c r="F27" s="5">
        <v>40</v>
      </c>
      <c r="G27" s="5" t="s">
        <v>36</v>
      </c>
      <c r="H27" s="5" t="s">
        <v>36</v>
      </c>
      <c r="I27" s="5" t="s">
        <v>51</v>
      </c>
      <c r="J27" s="13" t="str">
        <f>LEFT(Table1[[#This Row],[Product ID]],LEN(Table1[[#This Row],[Product ID]]) -3)</f>
        <v>11-JUL</v>
      </c>
      <c r="K27" s="8" t="str">
        <f>RIGHT(Table1[[#This Row],[Product ID]],2)</f>
        <v>CA</v>
      </c>
      <c r="L27" s="8" t="str">
        <f>CONCATENATE(Table1[[#This Row],[Brand Name]]," ",Table1[[#This Row],[Proper Function]])</f>
        <v>Vitamix Blender</v>
      </c>
      <c r="M27" s="16">
        <f t="shared" si="0"/>
        <v>45849</v>
      </c>
    </row>
    <row r="28" spans="1:13" ht="15.75" customHeight="1" x14ac:dyDescent="0.25">
      <c r="A28" s="5" t="s">
        <v>102</v>
      </c>
      <c r="B28" s="5" t="s">
        <v>103</v>
      </c>
      <c r="C28" s="5" t="str">
        <f>PROPER(Table1[Product Name])</f>
        <v>Dress</v>
      </c>
      <c r="D28" s="5" t="s">
        <v>104</v>
      </c>
      <c r="E28" s="11">
        <v>60</v>
      </c>
      <c r="F28" s="5">
        <v>30</v>
      </c>
      <c r="G28" s="5" t="s">
        <v>32</v>
      </c>
      <c r="H28" s="5" t="s">
        <v>32</v>
      </c>
      <c r="I28" s="5" t="s">
        <v>103</v>
      </c>
      <c r="J28" s="13" t="str">
        <f>LEFT(Table1[[#This Row],[Product ID]],LEN(Table1[[#This Row],[Product ID]]) -3)</f>
        <v>07-MAR</v>
      </c>
      <c r="K28" s="8" t="str">
        <f>RIGHT(Table1[[#This Row],[Product ID]],2)</f>
        <v>CA</v>
      </c>
      <c r="L28" s="8" t="str">
        <f>CONCATENATE(Table1[[#This Row],[Brand Name]]," ",Table1[[#This Row],[Proper Function]])</f>
        <v>Zara Dress</v>
      </c>
      <c r="M28" s="16">
        <f t="shared" si="0"/>
        <v>45723</v>
      </c>
    </row>
    <row r="29" spans="1:13" ht="15.75" customHeight="1" x14ac:dyDescent="0.25">
      <c r="A29" s="8" t="s">
        <v>105</v>
      </c>
      <c r="B29" s="8" t="s">
        <v>106</v>
      </c>
      <c r="C29" s="8" t="str">
        <f>PROPER(Table1[Product Name])</f>
        <v>Toaster</v>
      </c>
      <c r="D29" s="8" t="s">
        <v>107</v>
      </c>
      <c r="E29" s="12">
        <v>40</v>
      </c>
      <c r="F29" s="8">
        <v>10</v>
      </c>
      <c r="G29" s="8" t="s">
        <v>36</v>
      </c>
      <c r="H29" s="8" t="s">
        <v>36</v>
      </c>
      <c r="I29" s="8" t="s">
        <v>106</v>
      </c>
      <c r="J29" s="13" t="str">
        <f>LEFT(Table1[[#This Row],[Product ID]],LEN(Table1[[#This Row],[Product ID]]) -3)</f>
        <v>13-APR</v>
      </c>
      <c r="K29" s="8" t="str">
        <f>RIGHT(Table1[[#This Row],[Product ID]],2)</f>
        <v>CA</v>
      </c>
      <c r="L29" s="8" t="str">
        <f>CONCATENATE(Table1[[#This Row],[Brand Name]]," ",Table1[[#This Row],[Proper Function]])</f>
        <v>Hamilton Toaster</v>
      </c>
      <c r="M29" s="16">
        <f t="shared" si="0"/>
        <v>45760</v>
      </c>
    </row>
    <row r="30" spans="1:13" ht="15.75" customHeight="1" x14ac:dyDescent="0.25">
      <c r="A30" s="5" t="s">
        <v>108</v>
      </c>
      <c r="B30" s="5" t="s">
        <v>93</v>
      </c>
      <c r="C30" s="5" t="str">
        <f>PROPER(Table1[Product Name])</f>
        <v>Fitness Tracker</v>
      </c>
      <c r="D30" s="5" t="s">
        <v>109</v>
      </c>
      <c r="E30" s="11">
        <v>130</v>
      </c>
      <c r="F30" s="5">
        <v>5</v>
      </c>
      <c r="G30" s="5" t="s">
        <v>28</v>
      </c>
      <c r="H30" s="5" t="s">
        <v>28</v>
      </c>
      <c r="I30" s="5" t="s">
        <v>93</v>
      </c>
      <c r="J30" s="13" t="str">
        <f>LEFT(Table1[[#This Row],[Product ID]],LEN(Table1[[#This Row],[Product ID]]) -3)</f>
        <v>24-MAY</v>
      </c>
      <c r="K30" s="8" t="str">
        <f>RIGHT(Table1[[#This Row],[Product ID]],2)</f>
        <v>CA</v>
      </c>
      <c r="L30" s="8" t="str">
        <f>CONCATENATE(Table1[[#This Row],[Brand Name]]," ",Table1[[#This Row],[Proper Function]])</f>
        <v>Garmin Fitness Tracker</v>
      </c>
      <c r="M30" s="16">
        <f t="shared" si="0"/>
        <v>45801</v>
      </c>
    </row>
    <row r="31" spans="1:13" ht="15.75" customHeight="1" x14ac:dyDescent="0.25">
      <c r="A31" s="8" t="s">
        <v>110</v>
      </c>
      <c r="B31" s="8" t="s">
        <v>111</v>
      </c>
      <c r="C31" s="8" t="str">
        <f>PROPER(Table1[Product Name])</f>
        <v>Jeans</v>
      </c>
      <c r="D31" s="8" t="s">
        <v>112</v>
      </c>
      <c r="E31" s="12">
        <v>50</v>
      </c>
      <c r="F31" s="8">
        <v>50</v>
      </c>
      <c r="G31" s="8" t="s">
        <v>32</v>
      </c>
      <c r="H31" s="8" t="s">
        <v>32</v>
      </c>
      <c r="I31" s="8" t="s">
        <v>111</v>
      </c>
      <c r="J31" s="13" t="str">
        <f>LEFT(Table1[[#This Row],[Product ID]],LEN(Table1[[#This Row],[Product ID]]) -3)</f>
        <v>02-DEC</v>
      </c>
      <c r="K31" s="8" t="str">
        <f>RIGHT(Table1[[#This Row],[Product ID]],2)</f>
        <v>CA</v>
      </c>
      <c r="L31" s="8" t="str">
        <f>CONCATENATE(Table1[[#This Row],[Brand Name]]," ",Table1[[#This Row],[Proper Function]])</f>
        <v>Levi's Jeans</v>
      </c>
      <c r="M31" s="16">
        <f t="shared" si="0"/>
        <v>45993</v>
      </c>
    </row>
    <row r="32" spans="1:13" ht="15.75" customHeight="1" x14ac:dyDescent="0.25">
      <c r="A32" s="8" t="s">
        <v>113</v>
      </c>
      <c r="B32" s="8" t="s">
        <v>114</v>
      </c>
      <c r="C32" s="8" t="str">
        <f>PROPER(Table1[Product Name])</f>
        <v>Watch</v>
      </c>
      <c r="D32" s="8" t="s">
        <v>115</v>
      </c>
      <c r="E32" s="12">
        <v>100</v>
      </c>
      <c r="F32" s="8">
        <v>20</v>
      </c>
      <c r="G32" s="8" t="s">
        <v>75</v>
      </c>
      <c r="H32" s="8" t="s">
        <v>75</v>
      </c>
      <c r="I32" s="8" t="s">
        <v>114</v>
      </c>
      <c r="J32" s="13" t="str">
        <f>LEFT(Table1[[#This Row],[Product ID]],LEN(Table1[[#This Row],[Product ID]]) -3)</f>
        <v>09-JUL</v>
      </c>
      <c r="K32" s="8" t="str">
        <f>RIGHT(Table1[[#This Row],[Product ID]],2)</f>
        <v>FR</v>
      </c>
      <c r="L32" s="8" t="str">
        <f>CONCATENATE(Table1[[#This Row],[Brand Name]]," ",Table1[[#This Row],[Proper Function]])</f>
        <v>Casio Watch</v>
      </c>
      <c r="M32" s="16">
        <f t="shared" si="0"/>
        <v>45847</v>
      </c>
    </row>
    <row r="33" spans="1:10" ht="15.75" customHeight="1" x14ac:dyDescent="0.25"/>
    <row r="34" spans="1:10" ht="15.75" customHeight="1" x14ac:dyDescent="0.25"/>
    <row r="35" spans="1:10" ht="15.75" customHeight="1" x14ac:dyDescent="0.25"/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>
      <c r="A39" s="9">
        <v>1</v>
      </c>
      <c r="B39" s="10" t="s">
        <v>118</v>
      </c>
    </row>
    <row r="40" spans="1:10" ht="15.75" customHeight="1" x14ac:dyDescent="0.25">
      <c r="B40" t="s">
        <v>116</v>
      </c>
      <c r="E40">
        <f>COUNTBLANK(E2:E32)</f>
        <v>3</v>
      </c>
    </row>
    <row r="41" spans="1:10" ht="15.75" customHeight="1" x14ac:dyDescent="0.25">
      <c r="B41" t="s">
        <v>117</v>
      </c>
    </row>
    <row r="42" spans="1:10" ht="15.75" customHeight="1" x14ac:dyDescent="0.25">
      <c r="J42" s="14"/>
    </row>
    <row r="43" spans="1:10" ht="15.75" customHeight="1" x14ac:dyDescent="0.25">
      <c r="B43" s="9" t="s">
        <v>119</v>
      </c>
      <c r="E43">
        <f>COUNTBLANK(G2:G32)</f>
        <v>4</v>
      </c>
    </row>
    <row r="44" spans="1:10" ht="15.75" customHeight="1" x14ac:dyDescent="0.25">
      <c r="B44" s="10" t="s">
        <v>120</v>
      </c>
    </row>
    <row r="45" spans="1:10" ht="15.75" customHeight="1" x14ac:dyDescent="0.25"/>
    <row r="46" spans="1:10" ht="15.6" customHeight="1" x14ac:dyDescent="0.25">
      <c r="A46" s="9">
        <v>2</v>
      </c>
      <c r="B46" s="10" t="s">
        <v>122</v>
      </c>
    </row>
    <row r="47" spans="1:10" ht="15.75" customHeight="1" x14ac:dyDescent="0.25">
      <c r="E47" t="str">
        <f>PROPER(B2)</f>
        <v>Laptop</v>
      </c>
    </row>
    <row r="48" spans="1:10" ht="15.75" customHeight="1" x14ac:dyDescent="0.25">
      <c r="B48" s="9" t="s">
        <v>125</v>
      </c>
    </row>
    <row r="49" spans="1:2" ht="15.75" customHeight="1" x14ac:dyDescent="0.25">
      <c r="B49" s="10" t="s">
        <v>126</v>
      </c>
    </row>
    <row r="50" spans="1:2" ht="15.75" customHeight="1" x14ac:dyDescent="0.25"/>
    <row r="51" spans="1:2" ht="15.75" customHeight="1" x14ac:dyDescent="0.25">
      <c r="A51" s="9">
        <v>3</v>
      </c>
      <c r="B51" s="10" t="s">
        <v>127</v>
      </c>
    </row>
    <row r="52" spans="1:2" ht="15.75" customHeight="1" x14ac:dyDescent="0.25"/>
    <row r="53" spans="1:2" ht="15.75" customHeight="1" x14ac:dyDescent="0.25"/>
    <row r="54" spans="1:2" ht="15.75" customHeight="1" x14ac:dyDescent="0.25"/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>
      <c r="A64">
        <v>4</v>
      </c>
      <c r="B64" s="10" t="s">
        <v>130</v>
      </c>
    </row>
    <row r="65" spans="1:2" ht="15.75" customHeight="1" x14ac:dyDescent="0.25">
      <c r="B65" s="10" t="s">
        <v>132</v>
      </c>
    </row>
    <row r="66" spans="1:2" ht="15.75" customHeight="1" x14ac:dyDescent="0.25"/>
    <row r="67" spans="1:2" ht="15.75" customHeight="1" x14ac:dyDescent="0.25">
      <c r="A67">
        <v>5</v>
      </c>
      <c r="B67" s="10" t="s">
        <v>133</v>
      </c>
    </row>
    <row r="68" spans="1:2" ht="15.75" customHeight="1" x14ac:dyDescent="0.25"/>
    <row r="69" spans="1:2" ht="15.75" customHeight="1" x14ac:dyDescent="0.25"/>
    <row r="70" spans="1:2" ht="15.75" customHeight="1" x14ac:dyDescent="0.25"/>
    <row r="71" spans="1:2" ht="15.75" customHeight="1" x14ac:dyDescent="0.25"/>
    <row r="72" spans="1:2" ht="15.75" customHeight="1" x14ac:dyDescent="0.25"/>
    <row r="73" spans="1:2" ht="15.75" customHeight="1" x14ac:dyDescent="0.25"/>
    <row r="74" spans="1:2" ht="15.75" customHeight="1" x14ac:dyDescent="0.25"/>
    <row r="75" spans="1:2" ht="15.75" customHeight="1" x14ac:dyDescent="0.25"/>
    <row r="76" spans="1:2" ht="15.75" customHeight="1" x14ac:dyDescent="0.25"/>
    <row r="77" spans="1:2" ht="15.75" customHeight="1" x14ac:dyDescent="0.25"/>
    <row r="78" spans="1:2" ht="15.75" customHeight="1" x14ac:dyDescent="0.25"/>
    <row r="79" spans="1:2" ht="15.75" customHeight="1" x14ac:dyDescent="0.25"/>
    <row r="80" spans="1: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E2:E32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{905BC159-2F20-4C7D-A7B8-BFF731EE69DF}</x14:id>
        </ext>
      </extLst>
    </cfRule>
  </conditionalFormatting>
  <conditionalFormatting sqref="G2:G32">
    <cfRule type="containsText" dxfId="0" priority="1" operator="containsText" text="Electronics">
      <formula>NOT(ISERROR(SEARCH("Electronics",G2)))</formula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5BC159-2F20-4C7D-A7B8-BFF731EE69D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E2:E32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</dc:creator>
  <cp:lastModifiedBy>saukrishnan@gmail.com</cp:lastModifiedBy>
  <dcterms:created xsi:type="dcterms:W3CDTF">2026-10-30T09:32:13Z</dcterms:created>
  <dcterms:modified xsi:type="dcterms:W3CDTF">2026-10-30T09:32:14Z</dcterms:modified>
</cp:coreProperties>
</file>